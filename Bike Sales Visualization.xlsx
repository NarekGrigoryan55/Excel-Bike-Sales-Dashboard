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rek\Downloads\"/>
    </mc:Choice>
  </mc:AlternateContent>
  <xr:revisionPtr revIDLastSave="0" documentId="8_{FAE189AB-A334-479B-A05C-CA2816EF21CD}"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<sst xmlns="http://schemas.openxmlformats.org/spreadsheetml/2006/main" count="16267" uniqueCount="51">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</sst>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2"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68421.052631578947</c:v>
                </c:pt>
                <c:pt idx="1">
                  <c:v>62500</c:v>
                </c:pt>
              </c:numCache>
            </c:numRef>
          </c:val>
          <c:extLst>
            <c:ext xmlns:c16="http://schemas.microsoft.com/office/drawing/2014/chart" uri="{C3380CC4-5D6E-409C-BE32-E72D297353CC}">
              <c16:uniqueId val="{00000000-9F35-4287-A736-22C85ED2409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64827.586206896551</c:v>
                </c:pt>
                <c:pt idx="1">
                  <c:v>63636.36363636364</c:v>
                </c:pt>
              </c:numCache>
            </c:numRef>
          </c:val>
          <c:extLst>
            <c:ext xmlns:c16="http://schemas.microsoft.com/office/drawing/2014/chart" uri="{C3380CC4-5D6E-409C-BE32-E72D297353CC}">
              <c16:uniqueId val="{00000001-9F35-4287-A736-22C85ED24098}"/>
            </c:ext>
          </c:extLst>
        </c:ser>
        <c:dLbls>
          <c:showLegendKey val="0"/>
          <c:showVal val="0"/>
          <c:showCatName val="0"/>
          <c:showSerName val="0"/>
          <c:showPercent val="0"/>
          <c:showBubbleSize val="0"/>
        </c:dLbls>
        <c:gapWidth val="219"/>
        <c:overlap val="-27"/>
        <c:axId val="1437312895"/>
        <c:axId val="1437313855"/>
      </c:barChart>
      <c:catAx>
        <c:axId val="143731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13855"/>
        <c:crosses val="autoZero"/>
        <c:auto val="1"/>
        <c:lblAlgn val="ctr"/>
        <c:lblOffset val="100"/>
        <c:noMultiLvlLbl val="0"/>
      </c:catAx>
      <c:valAx>
        <c:axId val="143731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12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Coummute</a:t>
            </a:r>
            <a:endParaRPr lang="en-GB"/>
          </a:p>
        </c:rich>
      </c:tx>
      <c:layout>
        <c:manualLayout>
          <c:xMode val="edge"/>
          <c:yMode val="edge"/>
          <c:x val="0.40374416739574226"/>
          <c:y val="3.1079183600128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14712744240303297"/>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4</c:v>
                </c:pt>
                <c:pt idx="1">
                  <c:v>3</c:v>
                </c:pt>
                <c:pt idx="2">
                  <c:v>3</c:v>
                </c:pt>
                <c:pt idx="3">
                  <c:v>14</c:v>
                </c:pt>
                <c:pt idx="4">
                  <c:v>11</c:v>
                </c:pt>
              </c:numCache>
            </c:numRef>
          </c:val>
          <c:smooth val="0"/>
          <c:extLst>
            <c:ext xmlns:c16="http://schemas.microsoft.com/office/drawing/2014/chart" uri="{C3380CC4-5D6E-409C-BE32-E72D297353CC}">
              <c16:uniqueId val="{00000000-3F17-42C8-A370-9CA7D4DE2E0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23</c:v>
                </c:pt>
                <c:pt idx="1">
                  <c:v>6</c:v>
                </c:pt>
                <c:pt idx="2">
                  <c:v>4</c:v>
                </c:pt>
                <c:pt idx="3">
                  <c:v>21</c:v>
                </c:pt>
                <c:pt idx="4">
                  <c:v>8</c:v>
                </c:pt>
              </c:numCache>
            </c:numRef>
          </c:val>
          <c:smooth val="0"/>
          <c:extLst>
            <c:ext xmlns:c16="http://schemas.microsoft.com/office/drawing/2014/chart" uri="{C3380CC4-5D6E-409C-BE32-E72D297353CC}">
              <c16:uniqueId val="{00000001-3F17-42C8-A370-9CA7D4DE2E0B}"/>
            </c:ext>
          </c:extLst>
        </c:ser>
        <c:dLbls>
          <c:showLegendKey val="0"/>
          <c:showVal val="0"/>
          <c:showCatName val="0"/>
          <c:showSerName val="0"/>
          <c:showPercent val="0"/>
          <c:showBubbleSize val="0"/>
        </c:dLbls>
        <c:smooth val="0"/>
        <c:axId val="429058495"/>
        <c:axId val="429057055"/>
      </c:lineChart>
      <c:catAx>
        <c:axId val="4290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layout>
            <c:manualLayout>
              <c:xMode val="edge"/>
              <c:yMode val="edge"/>
              <c:x val="0.38494313210848646"/>
              <c:y val="0.88990959463400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57055"/>
        <c:crosses val="autoZero"/>
        <c:auto val="1"/>
        <c:lblAlgn val="ctr"/>
        <c:lblOffset val="100"/>
        <c:noMultiLvlLbl val="0"/>
      </c:catAx>
      <c:valAx>
        <c:axId val="42905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58495"/>
        <c:crosses val="autoZero"/>
        <c:crossBetween val="between"/>
      </c:valAx>
      <c:spPr>
        <a:noFill/>
        <a:ln>
          <a:noFill/>
        </a:ln>
        <a:effectLst/>
      </c:spPr>
    </c:plotArea>
    <c:legend>
      <c:legendPos val="r"/>
      <c:layout>
        <c:manualLayout>
          <c:xMode val="edge"/>
          <c:yMode val="edge"/>
          <c:x val="0.83333333333333337"/>
          <c:y val="0.40212999416739564"/>
          <c:w val="0.16666666666666666"/>
          <c:h val="0.20866460073330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1">
                  <c:v>27</c:v>
                </c:pt>
                <c:pt idx="2">
                  <c:v>8</c:v>
                </c:pt>
              </c:numCache>
            </c:numRef>
          </c:val>
          <c:smooth val="0"/>
          <c:extLst>
            <c:ext xmlns:c16="http://schemas.microsoft.com/office/drawing/2014/chart" uri="{C3380CC4-5D6E-409C-BE32-E72D297353CC}">
              <c16:uniqueId val="{00000000-FE22-4B15-9D25-D0773DD6436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10</c:v>
                </c:pt>
                <c:pt idx="1">
                  <c:v>44</c:v>
                </c:pt>
                <c:pt idx="2">
                  <c:v>8</c:v>
                </c:pt>
              </c:numCache>
            </c:numRef>
          </c:val>
          <c:smooth val="0"/>
          <c:extLst>
            <c:ext xmlns:c16="http://schemas.microsoft.com/office/drawing/2014/chart" uri="{C3380CC4-5D6E-409C-BE32-E72D297353CC}">
              <c16:uniqueId val="{00000001-FE22-4B15-9D25-D0773DD64365}"/>
            </c:ext>
          </c:extLst>
        </c:ser>
        <c:dLbls>
          <c:showLegendKey val="0"/>
          <c:showVal val="0"/>
          <c:showCatName val="0"/>
          <c:showSerName val="0"/>
          <c:showPercent val="0"/>
          <c:showBubbleSize val="0"/>
        </c:dLbls>
        <c:marker val="1"/>
        <c:smooth val="0"/>
        <c:axId val="1440877631"/>
        <c:axId val="1440877151"/>
      </c:lineChart>
      <c:catAx>
        <c:axId val="144087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77151"/>
        <c:crosses val="autoZero"/>
        <c:auto val="1"/>
        <c:lblAlgn val="ctr"/>
        <c:lblOffset val="100"/>
        <c:noMultiLvlLbl val="0"/>
      </c:catAx>
      <c:valAx>
        <c:axId val="144087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7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68421.052631578947</c:v>
                </c:pt>
                <c:pt idx="1">
                  <c:v>62500</c:v>
                </c:pt>
              </c:numCache>
            </c:numRef>
          </c:val>
          <c:extLst>
            <c:ext xmlns:c16="http://schemas.microsoft.com/office/drawing/2014/chart" uri="{C3380CC4-5D6E-409C-BE32-E72D297353CC}">
              <c16:uniqueId val="{00000000-E156-4950-96CD-926690B2E12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64827.586206896551</c:v>
                </c:pt>
                <c:pt idx="1">
                  <c:v>63636.36363636364</c:v>
                </c:pt>
              </c:numCache>
            </c:numRef>
          </c:val>
          <c:extLst>
            <c:ext xmlns:c16="http://schemas.microsoft.com/office/drawing/2014/chart" uri="{C3380CC4-5D6E-409C-BE32-E72D297353CC}">
              <c16:uniqueId val="{00000001-E156-4950-96CD-926690B2E12F}"/>
            </c:ext>
          </c:extLst>
        </c:ser>
        <c:dLbls>
          <c:showLegendKey val="0"/>
          <c:showVal val="0"/>
          <c:showCatName val="0"/>
          <c:showSerName val="0"/>
          <c:showPercent val="0"/>
          <c:showBubbleSize val="0"/>
        </c:dLbls>
        <c:gapWidth val="219"/>
        <c:overlap val="-27"/>
        <c:axId val="1437312895"/>
        <c:axId val="1437313855"/>
      </c:barChart>
      <c:catAx>
        <c:axId val="143731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13855"/>
        <c:crosses val="autoZero"/>
        <c:auto val="1"/>
        <c:lblAlgn val="ctr"/>
        <c:lblOffset val="100"/>
        <c:noMultiLvlLbl val="0"/>
      </c:catAx>
      <c:valAx>
        <c:axId val="143731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12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Coummute</a:t>
            </a:r>
            <a:endParaRPr lang="en-GB"/>
          </a:p>
        </c:rich>
      </c:tx>
      <c:layout>
        <c:manualLayout>
          <c:xMode val="edge"/>
          <c:yMode val="edge"/>
          <c:x val="0.40374416739574226"/>
          <c:y val="3.1079183600128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92738407699"/>
          <c:y val="0.14712744240303297"/>
          <c:w val="0.6735301837270341"/>
          <c:h val="0.6076742490522018"/>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4</c:v>
                </c:pt>
                <c:pt idx="1">
                  <c:v>3</c:v>
                </c:pt>
                <c:pt idx="2">
                  <c:v>3</c:v>
                </c:pt>
                <c:pt idx="3">
                  <c:v>14</c:v>
                </c:pt>
                <c:pt idx="4">
                  <c:v>11</c:v>
                </c:pt>
              </c:numCache>
            </c:numRef>
          </c:val>
          <c:smooth val="0"/>
          <c:extLst>
            <c:ext xmlns:c16="http://schemas.microsoft.com/office/drawing/2014/chart" uri="{C3380CC4-5D6E-409C-BE32-E72D297353CC}">
              <c16:uniqueId val="{00000000-54E4-4FA0-AAC6-DC068C45948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23</c:v>
                </c:pt>
                <c:pt idx="1">
                  <c:v>6</c:v>
                </c:pt>
                <c:pt idx="2">
                  <c:v>4</c:v>
                </c:pt>
                <c:pt idx="3">
                  <c:v>21</c:v>
                </c:pt>
                <c:pt idx="4">
                  <c:v>8</c:v>
                </c:pt>
              </c:numCache>
            </c:numRef>
          </c:val>
          <c:smooth val="0"/>
          <c:extLst>
            <c:ext xmlns:c16="http://schemas.microsoft.com/office/drawing/2014/chart" uri="{C3380CC4-5D6E-409C-BE32-E72D297353CC}">
              <c16:uniqueId val="{00000001-54E4-4FA0-AAC6-DC068C45948C}"/>
            </c:ext>
          </c:extLst>
        </c:ser>
        <c:dLbls>
          <c:showLegendKey val="0"/>
          <c:showVal val="0"/>
          <c:showCatName val="0"/>
          <c:showSerName val="0"/>
          <c:showPercent val="0"/>
          <c:showBubbleSize val="0"/>
        </c:dLbls>
        <c:smooth val="0"/>
        <c:axId val="429058495"/>
        <c:axId val="429057055"/>
      </c:lineChart>
      <c:catAx>
        <c:axId val="4290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layout>
            <c:manualLayout>
              <c:xMode val="edge"/>
              <c:yMode val="edge"/>
              <c:x val="0.38494313210848646"/>
              <c:y val="0.88990959463400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57055"/>
        <c:crosses val="autoZero"/>
        <c:auto val="1"/>
        <c:lblAlgn val="ctr"/>
        <c:lblOffset val="100"/>
        <c:noMultiLvlLbl val="0"/>
      </c:catAx>
      <c:valAx>
        <c:axId val="42905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58495"/>
        <c:crosses val="autoZero"/>
        <c:crossBetween val="between"/>
      </c:valAx>
      <c:spPr>
        <a:noFill/>
        <a:ln>
          <a:noFill/>
        </a:ln>
        <a:effectLst/>
      </c:spPr>
    </c:plotArea>
    <c:legend>
      <c:legendPos val="r"/>
      <c:layout>
        <c:manualLayout>
          <c:xMode val="edge"/>
          <c:yMode val="edge"/>
          <c:x val="0.83333333333333337"/>
          <c:y val="0.40212999416739564"/>
          <c:w val="0.16666666666666666"/>
          <c:h val="0.20866460073330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Virtualization.xlsx]Pivot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1">
                  <c:v>27</c:v>
                </c:pt>
                <c:pt idx="2">
                  <c:v>8</c:v>
                </c:pt>
              </c:numCache>
            </c:numRef>
          </c:val>
          <c:smooth val="0"/>
          <c:extLst>
            <c:ext xmlns:c16="http://schemas.microsoft.com/office/drawing/2014/chart" uri="{C3380CC4-5D6E-409C-BE32-E72D297353CC}">
              <c16:uniqueId val="{00000000-5823-4F0F-92B0-B32098F140E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10</c:v>
                </c:pt>
                <c:pt idx="1">
                  <c:v>44</c:v>
                </c:pt>
                <c:pt idx="2">
                  <c:v>8</c:v>
                </c:pt>
              </c:numCache>
            </c:numRef>
          </c:val>
          <c:smooth val="0"/>
          <c:extLst>
            <c:ext xmlns:c16="http://schemas.microsoft.com/office/drawing/2014/chart" uri="{C3380CC4-5D6E-409C-BE32-E72D297353CC}">
              <c16:uniqueId val="{00000001-5823-4F0F-92B0-B32098F140E1}"/>
            </c:ext>
          </c:extLst>
        </c:ser>
        <c:dLbls>
          <c:showLegendKey val="0"/>
          <c:showVal val="0"/>
          <c:showCatName val="0"/>
          <c:showSerName val="0"/>
          <c:showPercent val="0"/>
          <c:showBubbleSize val="0"/>
        </c:dLbls>
        <c:marker val="1"/>
        <c:smooth val="0"/>
        <c:axId val="1440877631"/>
        <c:axId val="1440877151"/>
      </c:lineChart>
      <c:catAx>
        <c:axId val="144087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77151"/>
        <c:crosses val="autoZero"/>
        <c:auto val="1"/>
        <c:lblAlgn val="ctr"/>
        <c:lblOffset val="100"/>
        <c:noMultiLvlLbl val="0"/>
      </c:catAx>
      <c:valAx>
        <c:axId val="144087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7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107156</xdr:colOff>
      <xdr:row>7</xdr:row>
      <xdr:rowOff>38098</xdr:rowOff>
    </xdr:from>
    <xdr:to>
      <xdr:col>9</xdr:col>
      <xdr:colOff>476248</xdr:colOff>
      <xdr:row>21</xdr:row>
      <xdr:rowOff>114298</xdr:rowOff>
    </xdr:to>
    <xdr:graphicFrame macro="">
      <xdr:nvGraphicFramePr>
        <xdr:cNvPr id="2" name="Chart 1">
          <a:extLst>
            <a:ext uri="{FF2B5EF4-FFF2-40B4-BE49-F238E27FC236}">
              <a16:creationId xmlns:a16="http://schemas.microsoft.com/office/drawing/2014/main" id="{4B326104-ACE6-473D-8555-33A8DF73F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107155</xdr:colOff>
      <xdr:row>21</xdr:row>
      <xdr:rowOff>166686</xdr:rowOff>
    </xdr:from>
    <xdr:to>
      <xdr:col>16</xdr:col>
      <xdr:colOff>11906</xdr:colOff>
      <xdr:row>46</xdr:row>
      <xdr:rowOff>47624</xdr:rowOff>
    </xdr:to>
    <xdr:graphicFrame macro="">
      <xdr:nvGraphicFramePr>
        <xdr:cNvPr id="3" name="Chart 2">
          <a:extLst>
            <a:ext uri="{FF2B5EF4-FFF2-40B4-BE49-F238E27FC236}">
              <a16:creationId xmlns:a16="http://schemas.microsoft.com/office/drawing/2014/main" id="{48794BF1-8712-478A-A4FF-B1CAAA559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559594</xdr:colOff>
      <xdr:row>7</xdr:row>
      <xdr:rowOff>40480</xdr:rowOff>
    </xdr:from>
    <xdr:to>
      <xdr:col>16</xdr:col>
      <xdr:colOff>1</xdr:colOff>
      <xdr:row>21</xdr:row>
      <xdr:rowOff>114298</xdr:rowOff>
    </xdr:to>
    <xdr:graphicFrame macro="">
      <xdr:nvGraphicFramePr>
        <xdr:cNvPr id="4" name="Chart 3">
          <a:extLst>
            <a:ext uri="{FF2B5EF4-FFF2-40B4-BE49-F238E27FC236}">
              <a16:creationId xmlns:a16="http://schemas.microsoft.com/office/drawing/2014/main" id="{AE6B0AF8-FB9A-4491-A595-6347AF0B7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19051</xdr:rowOff>
    </xdr:from>
    <xdr:to>
      <xdr:col>2</xdr:col>
      <xdr:colOff>583405</xdr:colOff>
      <xdr:row>11</xdr:row>
      <xdr:rowOff>130969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FFF8EB6-A31B-EF7F-8417-55344212F9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947864"/>
              <a:ext cx="1797843" cy="8739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19052</xdr:rowOff>
    </xdr:from>
    <xdr:to>
      <xdr:col>2</xdr:col>
      <xdr:colOff>583406</xdr:colOff>
      <xdr:row>20</xdr:row>
      <xdr:rowOff>142876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DD61B5A-672A-A87D-3331-743E80E2F2F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00365"/>
              <a:ext cx="1797844" cy="1647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30956</xdr:rowOff>
    </xdr:from>
    <xdr:to>
      <xdr:col>2</xdr:col>
      <xdr:colOff>583406</xdr:colOff>
      <xdr:row>28</xdr:row>
      <xdr:rowOff>23812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2296077-6883-77AF-1CEE-081DD12009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626769"/>
              <a:ext cx="1797844" cy="13263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428625</xdr:colOff>
      <xdr:row>1</xdr:row>
      <xdr:rowOff>119062</xdr:rowOff>
    </xdr:from>
    <xdr:to>
      <xdr:col>14</xdr:col>
      <xdr:colOff>123825</xdr:colOff>
      <xdr:row>16</xdr:row>
      <xdr:rowOff>4762</xdr:rowOff>
    </xdr:to>
    <xdr:graphicFrame macro="">
      <xdr:nvGraphicFramePr>
        <xdr:cNvPr id="2" name="Chart 1">
          <a:extLst>
            <a:ext uri="{FF2B5EF4-FFF2-40B4-BE49-F238E27FC236}">
              <a16:creationId xmlns:a16="http://schemas.microsoft.com/office/drawing/2014/main" id="{B77D06F5-B794-45ED-2D1A-5920BA83B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16</xdr:row>
      <xdr:rowOff>142875</xdr:rowOff>
    </xdr:from>
    <xdr:to>
      <xdr:col>15</xdr:col>
      <xdr:colOff>361950</xdr:colOff>
      <xdr:row>32</xdr:row>
      <xdr:rowOff>33337</xdr:rowOff>
    </xdr:to>
    <xdr:graphicFrame macro="">
      <xdr:nvGraphicFramePr>
        <xdr:cNvPr id="3" name="Chart 2">
          <a:extLst>
            <a:ext uri="{FF2B5EF4-FFF2-40B4-BE49-F238E27FC236}">
              <a16:creationId xmlns:a16="http://schemas.microsoft.com/office/drawing/2014/main" id="{E558A99B-48CB-4D52-C179-7CD392C25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295275</xdr:colOff>
      <xdr:row>35</xdr:row>
      <xdr:rowOff>100012</xdr:rowOff>
    </xdr:from>
    <xdr:to>
      <xdr:col>13</xdr:col>
      <xdr:colOff>600075</xdr:colOff>
      <xdr:row>49</xdr:row>
      <xdr:rowOff>176212</xdr:rowOff>
    </xdr:to>
    <xdr:graphicFrame macro="">
      <xdr:nvGraphicFramePr>
        <xdr:cNvPr id="4" name="Chart 3">
          <a:extLst>
            <a:ext uri="{FF2B5EF4-FFF2-40B4-BE49-F238E27FC236}">
              <a16:creationId xmlns:a16="http://schemas.microsoft.com/office/drawing/2014/main" id="{B97D2017-65A4-62E8-EA14-9C48C95D2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k" refreshedDate="46174.127046296293" createdVersion="8" refreshedVersion="8" minRefreshableVersion="3" recordCount="1000" xr:uid="{4EC96610-F648-41A8-8FF9-C1257C136BB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9333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E6CFD-1ECA-434F-9837-0C9F6036538C}"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43BED6-ACE2-487B-91FE-9F706DEF7CD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h="1"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C91D91-A362-471F-9017-5ECBDE5F89D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8"/>
  </dataFields>
  <formats count="9">
    <format dxfId="215">
      <pivotArea collapsedLevelsAreSubtotals="1" fieldPosition="0">
        <references count="2">
          <reference field="2" count="1">
            <x v="0"/>
          </reference>
          <reference field="13" count="1" selected="0">
            <x v="0"/>
          </reference>
        </references>
      </pivotArea>
    </format>
    <format dxfId="214">
      <pivotArea collapsedLevelsAreSubtotals="1" fieldPosition="0">
        <references count="2">
          <reference field="2" count="1">
            <x v="1"/>
          </reference>
          <reference field="13" count="1" selected="0">
            <x v="0"/>
          </reference>
        </references>
      </pivotArea>
    </format>
    <format dxfId="213">
      <pivotArea field="13" grandRow="1" outline="0" collapsedLevelsAreSubtotals="1" axis="axisCol" fieldPosition="0">
        <references count="1">
          <reference field="13" count="1" selected="0">
            <x v="0"/>
          </reference>
        </references>
      </pivotArea>
    </format>
    <format dxfId="212">
      <pivotArea collapsedLevelsAreSubtotals="1" fieldPosition="0">
        <references count="2">
          <reference field="2" count="1">
            <x v="0"/>
          </reference>
          <reference field="13" count="1" selected="0">
            <x v="1"/>
          </reference>
        </references>
      </pivotArea>
    </format>
    <format dxfId="211">
      <pivotArea collapsedLevelsAreSubtotals="1" fieldPosition="0">
        <references count="2">
          <reference field="2" count="1">
            <x v="1"/>
          </reference>
          <reference field="13" count="1" selected="0">
            <x v="1"/>
          </reference>
        </references>
      </pivotArea>
    </format>
    <format dxfId="210">
      <pivotArea field="13" grandRow="1" outline="0" collapsedLevelsAreSubtotals="1" axis="axisCol" fieldPosition="0">
        <references count="1">
          <reference field="13" count="1" selected="0">
            <x v="1"/>
          </reference>
        </references>
      </pivotArea>
    </format>
    <format dxfId="209">
      <pivotArea field="2" grandCol="1" collapsedLevelsAreSubtotals="1" axis="axisRow" fieldPosition="0">
        <references count="1">
          <reference field="2" count="1">
            <x v="0"/>
          </reference>
        </references>
      </pivotArea>
    </format>
    <format dxfId="208">
      <pivotArea field="2" grandCol="1" collapsedLevelsAreSubtotals="1" axis="axisRow" fieldPosition="0">
        <references count="1">
          <reference field="2" count="1">
            <x v="1"/>
          </reference>
        </references>
      </pivotArea>
    </format>
    <format dxfId="207">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83C3B58-8327-49AE-AE1E-DCFEAD04830E}" sourceName="Marital Status">
  <pivotTables>
    <pivotTable tabId="3" name="PivotTable1"/>
    <pivotTable tabId="3" name="PivotTable2"/>
    <pivotTable tabId="3" name="PivotTable3"/>
  </pivotTables>
  <data>
    <tabular pivotCacheId="203933352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1ECF153-37BD-4499-94F9-2326ED8E35FB}" sourceName="Education">
  <pivotTables>
    <pivotTable tabId="3" name="PivotTable1"/>
    <pivotTable tabId="3" name="PivotTable2"/>
    <pivotTable tabId="3" name="PivotTable3"/>
  </pivotTables>
  <data>
    <tabular pivotCacheId="203933352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27DF75-53D0-4C26-B539-AADA51CECC0D}" sourceName="Region">
  <pivotTables>
    <pivotTable tabId="3" name="PivotTable1"/>
    <pivotTable tabId="3" name="PivotTable2"/>
    <pivotTable tabId="3" name="PivotTable3"/>
  </pivotTables>
  <data>
    <tabular pivotCacheId="203933352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8E50AD6-6F54-4AD8-9701-A9A7FB7C26A6}" cache="Slicer_Marital_Status" caption="Marital Status" rowHeight="241300"/>
  <slicer name="Education" xr10:uid="{4CFDD09F-FA3C-402D-94AF-402819068472}" cache="Slicer_Education" caption="Education" rowHeight="241300"/>
  <slicer name="Region" xr10:uid="{287084B3-D64C-47F5-BB8B-8EDA5C8159C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 sqref="J1:J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57DC4-31C4-4C07-AF67-E1CB01677B7C}">
  <dimension ref="A1:N1001"/>
  <sheetViews>
    <sheetView topLeftCell="A967" workbookViewId="0">
      <selection activeCell="J967" sqref="J1:J1048576"/>
    </sheetView>
  </sheetViews>
  <sheetFormatPr defaultRowHeight="15" x14ac:dyDescent="0.25"/>
  <cols>
    <col min="1" max="3" width="16.7109375" customWidth="1"/>
    <col min="4" max="4" width="16.7109375" style="4" customWidth="1"/>
    <col min="5" max="14" width="16.7109375"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38</v>
      </c>
      <c r="D2" s="4">
        <v>40000</v>
      </c>
      <c r="E2">
        <v>1</v>
      </c>
      <c r="F2" t="s">
        <v>13</v>
      </c>
      <c r="G2" t="s">
        <v>14</v>
      </c>
      <c r="H2" t="s">
        <v>15</v>
      </c>
      <c r="I2">
        <v>0</v>
      </c>
      <c r="J2" t="s">
        <v>16</v>
      </c>
      <c r="K2" t="s">
        <v>17</v>
      </c>
      <c r="L2">
        <v>42</v>
      </c>
      <c r="M2" t="str">
        <f>IF(L2 &gt; 54, "Old",IF(L2 &gt;= 31, "Middle Age",IF(L2 &lt; 31,"Adolescent","Invalid")))</f>
        <v>Middle Age</v>
      </c>
      <c r="N2" t="s">
        <v>18</v>
      </c>
    </row>
    <row r="3" spans="1:14" x14ac:dyDescent="0.25">
      <c r="A3">
        <v>24107</v>
      </c>
      <c r="B3" t="s">
        <v>36</v>
      </c>
      <c r="C3" t="s">
        <v>39</v>
      </c>
      <c r="D3" s="4">
        <v>30000</v>
      </c>
      <c r="E3">
        <v>3</v>
      </c>
      <c r="F3" t="s">
        <v>19</v>
      </c>
      <c r="G3" t="s">
        <v>20</v>
      </c>
      <c r="H3" t="s">
        <v>15</v>
      </c>
      <c r="I3">
        <v>1</v>
      </c>
      <c r="J3" t="s">
        <v>16</v>
      </c>
      <c r="K3" t="s">
        <v>17</v>
      </c>
      <c r="L3">
        <v>43</v>
      </c>
      <c r="M3" t="str">
        <f t="shared" ref="M3:M66" si="0">IF(L3 &gt; 54, "Old",IF(L3 &gt;= 31, "Middle Age",IF(L3 &lt; 31,"Adolescent","Invalid")))</f>
        <v>Middle Age</v>
      </c>
      <c r="N3" t="s">
        <v>18</v>
      </c>
    </row>
    <row r="4" spans="1:14" x14ac:dyDescent="0.25">
      <c r="A4">
        <v>14177</v>
      </c>
      <c r="B4" t="s">
        <v>36</v>
      </c>
      <c r="C4" t="s">
        <v>39</v>
      </c>
      <c r="D4" s="4">
        <v>80000</v>
      </c>
      <c r="E4">
        <v>5</v>
      </c>
      <c r="F4" t="s">
        <v>19</v>
      </c>
      <c r="G4" t="s">
        <v>21</v>
      </c>
      <c r="H4" t="s">
        <v>18</v>
      </c>
      <c r="I4">
        <v>2</v>
      </c>
      <c r="J4" t="s">
        <v>22</v>
      </c>
      <c r="K4" t="s">
        <v>17</v>
      </c>
      <c r="L4">
        <v>60</v>
      </c>
      <c r="M4" t="str">
        <f t="shared" si="0"/>
        <v>Old</v>
      </c>
      <c r="N4" t="s">
        <v>18</v>
      </c>
    </row>
    <row r="5" spans="1:14" x14ac:dyDescent="0.25">
      <c r="A5">
        <v>24381</v>
      </c>
      <c r="B5" t="s">
        <v>37</v>
      </c>
      <c r="C5" t="s">
        <v>39</v>
      </c>
      <c r="D5" s="4">
        <v>70000</v>
      </c>
      <c r="E5">
        <v>0</v>
      </c>
      <c r="F5" t="s">
        <v>13</v>
      </c>
      <c r="G5" t="s">
        <v>21</v>
      </c>
      <c r="H5" t="s">
        <v>15</v>
      </c>
      <c r="I5">
        <v>1</v>
      </c>
      <c r="J5" t="s">
        <v>23</v>
      </c>
      <c r="K5" t="s">
        <v>24</v>
      </c>
      <c r="L5">
        <v>41</v>
      </c>
      <c r="M5" t="str">
        <f t="shared" si="0"/>
        <v>Middle Age</v>
      </c>
      <c r="N5" t="s">
        <v>15</v>
      </c>
    </row>
    <row r="6" spans="1:14" x14ac:dyDescent="0.25">
      <c r="A6">
        <v>25597</v>
      </c>
      <c r="B6" t="s">
        <v>37</v>
      </c>
      <c r="C6" t="s">
        <v>39</v>
      </c>
      <c r="D6" s="4">
        <v>30000</v>
      </c>
      <c r="E6">
        <v>0</v>
      </c>
      <c r="F6" t="s">
        <v>13</v>
      </c>
      <c r="G6" t="s">
        <v>20</v>
      </c>
      <c r="H6" t="s">
        <v>18</v>
      </c>
      <c r="I6">
        <v>0</v>
      </c>
      <c r="J6" t="s">
        <v>16</v>
      </c>
      <c r="K6" t="s">
        <v>17</v>
      </c>
      <c r="L6">
        <v>36</v>
      </c>
      <c r="M6" t="str">
        <f t="shared" si="0"/>
        <v>Middle Age</v>
      </c>
      <c r="N6" t="s">
        <v>15</v>
      </c>
    </row>
    <row r="7" spans="1:14" x14ac:dyDescent="0.25">
      <c r="A7">
        <v>13507</v>
      </c>
      <c r="B7" t="s">
        <v>36</v>
      </c>
      <c r="C7" t="s">
        <v>38</v>
      </c>
      <c r="D7" s="4">
        <v>10000</v>
      </c>
      <c r="E7">
        <v>2</v>
      </c>
      <c r="F7" t="s">
        <v>19</v>
      </c>
      <c r="G7" t="s">
        <v>25</v>
      </c>
      <c r="H7" t="s">
        <v>15</v>
      </c>
      <c r="I7">
        <v>0</v>
      </c>
      <c r="J7" t="s">
        <v>26</v>
      </c>
      <c r="K7" t="s">
        <v>17</v>
      </c>
      <c r="L7">
        <v>50</v>
      </c>
      <c r="M7" t="str">
        <f t="shared" si="0"/>
        <v>Middle Age</v>
      </c>
      <c r="N7" t="s">
        <v>18</v>
      </c>
    </row>
    <row r="8" spans="1:14" x14ac:dyDescent="0.25">
      <c r="A8">
        <v>27974</v>
      </c>
      <c r="B8" t="s">
        <v>37</v>
      </c>
      <c r="C8" t="s">
        <v>39</v>
      </c>
      <c r="D8" s="4">
        <v>160000</v>
      </c>
      <c r="E8">
        <v>2</v>
      </c>
      <c r="F8" t="s">
        <v>27</v>
      </c>
      <c r="G8" t="s">
        <v>28</v>
      </c>
      <c r="H8" t="s">
        <v>15</v>
      </c>
      <c r="I8">
        <v>4</v>
      </c>
      <c r="J8" t="s">
        <v>16</v>
      </c>
      <c r="K8" t="s">
        <v>24</v>
      </c>
      <c r="L8">
        <v>33</v>
      </c>
      <c r="M8" t="str">
        <f t="shared" si="0"/>
        <v>Middle Age</v>
      </c>
      <c r="N8" t="s">
        <v>15</v>
      </c>
    </row>
    <row r="9" spans="1:14" x14ac:dyDescent="0.25">
      <c r="A9">
        <v>19364</v>
      </c>
      <c r="B9" t="s">
        <v>36</v>
      </c>
      <c r="C9" t="s">
        <v>39</v>
      </c>
      <c r="D9" s="4">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4">
        <v>30000</v>
      </c>
      <c r="E67">
        <v>2</v>
      </c>
      <c r="F67" t="s">
        <v>19</v>
      </c>
      <c r="G67" t="s">
        <v>20</v>
      </c>
      <c r="H67" t="s">
        <v>15</v>
      </c>
      <c r="I67">
        <v>2</v>
      </c>
      <c r="J67" t="s">
        <v>23</v>
      </c>
      <c r="K67" t="s">
        <v>24</v>
      </c>
      <c r="L67">
        <v>68</v>
      </c>
      <c r="M67" t="str">
        <f t="shared" ref="M67:M130" si="1">IF(L67 &gt; 54, "Old",IF(L67 &gt;= 31, "Middle Age",IF(L67 &lt; 31,"Adolescent","Invalid")))</f>
        <v>Old</v>
      </c>
      <c r="N67" t="s">
        <v>18</v>
      </c>
    </row>
    <row r="68" spans="1:14" x14ac:dyDescent="0.2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4">
        <v>10000</v>
      </c>
      <c r="E131">
        <v>3</v>
      </c>
      <c r="F131" t="s">
        <v>27</v>
      </c>
      <c r="G131" t="s">
        <v>25</v>
      </c>
      <c r="H131" t="s">
        <v>15</v>
      </c>
      <c r="I131">
        <v>1</v>
      </c>
      <c r="J131" t="s">
        <v>16</v>
      </c>
      <c r="K131" t="s">
        <v>17</v>
      </c>
      <c r="L131">
        <v>39</v>
      </c>
      <c r="M131" t="str">
        <f t="shared" ref="M131:M194" si="2">IF(L131 &gt; 54, "Old",IF(L131 &gt;= 31, "Middle Age",IF(L131 &lt; 31,"Adolescent","Invalid")))</f>
        <v>Middle Age</v>
      </c>
      <c r="N131" t="s">
        <v>15</v>
      </c>
    </row>
    <row r="132" spans="1:14" x14ac:dyDescent="0.2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4">
        <v>70000</v>
      </c>
      <c r="E195">
        <v>5</v>
      </c>
      <c r="F195" t="s">
        <v>13</v>
      </c>
      <c r="G195" t="s">
        <v>21</v>
      </c>
      <c r="H195" t="s">
        <v>15</v>
      </c>
      <c r="I195">
        <v>4</v>
      </c>
      <c r="J195" t="s">
        <v>46</v>
      </c>
      <c r="K195" t="s">
        <v>24</v>
      </c>
      <c r="L195">
        <v>41</v>
      </c>
      <c r="M195" t="str">
        <f t="shared" ref="M195:M258" si="3">IF(L195 &gt; 54, "Old",IF(L195 &gt;= 31, "Middle Age",IF(L195 &lt; 31,"Adolescent","Invalid")))</f>
        <v>Middle Age</v>
      </c>
      <c r="N195" t="s">
        <v>18</v>
      </c>
    </row>
    <row r="196" spans="1:14" x14ac:dyDescent="0.2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4">
        <v>50000</v>
      </c>
      <c r="E259">
        <v>0</v>
      </c>
      <c r="F259" t="s">
        <v>31</v>
      </c>
      <c r="G259" t="s">
        <v>14</v>
      </c>
      <c r="H259" t="s">
        <v>15</v>
      </c>
      <c r="I259">
        <v>0</v>
      </c>
      <c r="J259" t="s">
        <v>16</v>
      </c>
      <c r="K259" t="s">
        <v>17</v>
      </c>
      <c r="L259">
        <v>36</v>
      </c>
      <c r="M259" t="str">
        <f t="shared" ref="M259:M322" si="4">IF(L259 &gt; 54, "Old",IF(L259 &gt;= 31, "Middle Age",IF(L259 &lt; 31,"Adolescent","Invalid")))</f>
        <v>Middle Age</v>
      </c>
      <c r="N259" t="s">
        <v>15</v>
      </c>
    </row>
    <row r="260" spans="1:14" x14ac:dyDescent="0.2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4">
        <v>160000</v>
      </c>
      <c r="E323">
        <v>0</v>
      </c>
      <c r="F323" t="s">
        <v>31</v>
      </c>
      <c r="G323" t="s">
        <v>28</v>
      </c>
      <c r="H323" t="s">
        <v>18</v>
      </c>
      <c r="I323">
        <v>3</v>
      </c>
      <c r="J323" t="s">
        <v>16</v>
      </c>
      <c r="K323" t="s">
        <v>24</v>
      </c>
      <c r="L323">
        <v>47</v>
      </c>
      <c r="M323" t="str">
        <f t="shared" ref="M323:M386" si="5">IF(L323 &gt; 54, "Old",IF(L323 &gt;= 31, "Middle Age",IF(L323 &lt; 31,"Adolescent","Invalid")))</f>
        <v>Middle Age</v>
      </c>
      <c r="N323" t="s">
        <v>15</v>
      </c>
    </row>
    <row r="324" spans="1:14" x14ac:dyDescent="0.2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4">
        <v>30000</v>
      </c>
      <c r="E387">
        <v>3</v>
      </c>
      <c r="F387" t="s">
        <v>19</v>
      </c>
      <c r="G387" t="s">
        <v>20</v>
      </c>
      <c r="H387" t="s">
        <v>15</v>
      </c>
      <c r="I387">
        <v>0</v>
      </c>
      <c r="J387" t="s">
        <v>16</v>
      </c>
      <c r="K387" t="s">
        <v>17</v>
      </c>
      <c r="L387">
        <v>43</v>
      </c>
      <c r="M387" t="str">
        <f t="shared" ref="M387:M450" si="6">IF(L387 &gt; 54, "Old",IF(L387 &gt;= 31, "Middle Age",IF(L387 &lt; 31,"Adolescent","Invalid")))</f>
        <v>Middle Age</v>
      </c>
      <c r="N387" t="s">
        <v>18</v>
      </c>
    </row>
    <row r="388" spans="1:14" x14ac:dyDescent="0.25">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4">
        <v>40000</v>
      </c>
      <c r="E451">
        <v>1</v>
      </c>
      <c r="F451" t="s">
        <v>13</v>
      </c>
      <c r="G451" t="s">
        <v>14</v>
      </c>
      <c r="H451" t="s">
        <v>15</v>
      </c>
      <c r="I451">
        <v>0</v>
      </c>
      <c r="J451" t="s">
        <v>16</v>
      </c>
      <c r="K451" t="s">
        <v>17</v>
      </c>
      <c r="L451">
        <v>42</v>
      </c>
      <c r="M451" t="str">
        <f t="shared" ref="M451:M514" si="7">IF(L451 &gt; 54, "Old",IF(L451 &gt;= 31, "Middle Age",IF(L451 &lt; 31,"Adolescent","Invalid")))</f>
        <v>Middle Age</v>
      </c>
      <c r="N451" t="s">
        <v>18</v>
      </c>
    </row>
    <row r="452" spans="1:14" x14ac:dyDescent="0.2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4">
        <v>60000</v>
      </c>
      <c r="E515">
        <v>4</v>
      </c>
      <c r="F515" t="s">
        <v>31</v>
      </c>
      <c r="G515" t="s">
        <v>28</v>
      </c>
      <c r="H515" t="s">
        <v>15</v>
      </c>
      <c r="I515">
        <v>2</v>
      </c>
      <c r="J515" t="s">
        <v>46</v>
      </c>
      <c r="K515" t="s">
        <v>32</v>
      </c>
      <c r="L515">
        <v>61</v>
      </c>
      <c r="M515" t="str">
        <f t="shared" ref="M515:M578" si="8">IF(L515 &gt; 54, "Old",IF(L515 &gt;= 31, "Middle Age",IF(L515 &lt; 31,"Adolescent","Invalid")))</f>
        <v>Old</v>
      </c>
      <c r="N515" t="s">
        <v>15</v>
      </c>
    </row>
    <row r="516" spans="1:14" x14ac:dyDescent="0.2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4">
        <v>120000</v>
      </c>
      <c r="E579">
        <v>1</v>
      </c>
      <c r="F579" t="s">
        <v>13</v>
      </c>
      <c r="G579" t="s">
        <v>28</v>
      </c>
      <c r="H579" t="s">
        <v>15</v>
      </c>
      <c r="I579">
        <v>4</v>
      </c>
      <c r="J579" t="s">
        <v>16</v>
      </c>
      <c r="K579" t="s">
        <v>32</v>
      </c>
      <c r="L579">
        <v>38</v>
      </c>
      <c r="M579" t="str">
        <f t="shared" ref="M579:M642" si="9">IF(L579 &gt; 54, "Old",IF(L579 &gt;= 31, "Middle Age",IF(L579 &lt; 31,"Adolescent","Invalid")))</f>
        <v>Middle Age</v>
      </c>
      <c r="N579" t="s">
        <v>18</v>
      </c>
    </row>
    <row r="580" spans="1:14" x14ac:dyDescent="0.2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4">
        <v>50000</v>
      </c>
      <c r="E643">
        <v>4</v>
      </c>
      <c r="F643" t="s">
        <v>13</v>
      </c>
      <c r="G643" t="s">
        <v>28</v>
      </c>
      <c r="H643" t="s">
        <v>15</v>
      </c>
      <c r="I643">
        <v>2</v>
      </c>
      <c r="J643" t="s">
        <v>46</v>
      </c>
      <c r="K643" t="s">
        <v>32</v>
      </c>
      <c r="L643">
        <v>64</v>
      </c>
      <c r="M643" t="str">
        <f t="shared" ref="M643:M706" si="10">IF(L643 &gt; 54, "Old",IF(L643 &gt;= 31, "Middle Age",IF(L643 &lt; 31,"Adolescent","Invalid")))</f>
        <v>Old</v>
      </c>
      <c r="N643" t="s">
        <v>18</v>
      </c>
    </row>
    <row r="644" spans="1:14" x14ac:dyDescent="0.2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4">
        <v>70000</v>
      </c>
      <c r="E707">
        <v>4</v>
      </c>
      <c r="F707" t="s">
        <v>13</v>
      </c>
      <c r="G707" t="s">
        <v>28</v>
      </c>
      <c r="H707" t="s">
        <v>15</v>
      </c>
      <c r="I707">
        <v>1</v>
      </c>
      <c r="J707" t="s">
        <v>46</v>
      </c>
      <c r="K707" t="s">
        <v>32</v>
      </c>
      <c r="L707">
        <v>59</v>
      </c>
      <c r="M707" t="str">
        <f t="shared" ref="M707:M770" si="11">IF(L707 &gt; 54, "Old",IF(L707 &gt;= 31, "Middle Age",IF(L707 &lt; 31,"Adolescent","Invalid")))</f>
        <v>Old</v>
      </c>
      <c r="N707" t="s">
        <v>18</v>
      </c>
    </row>
    <row r="708" spans="1:14" x14ac:dyDescent="0.2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4">
        <v>100000</v>
      </c>
      <c r="E771">
        <v>4</v>
      </c>
      <c r="F771" t="s">
        <v>13</v>
      </c>
      <c r="G771" t="s">
        <v>28</v>
      </c>
      <c r="H771" t="s">
        <v>15</v>
      </c>
      <c r="I771">
        <v>4</v>
      </c>
      <c r="J771" t="s">
        <v>16</v>
      </c>
      <c r="K771" t="s">
        <v>32</v>
      </c>
      <c r="L771">
        <v>40</v>
      </c>
      <c r="M771" t="str">
        <f t="shared" ref="M771:M834" si="12">IF(L771 &gt; 54, "Old",IF(L771 &gt;= 31, "Middle Age",IF(L771 &lt; 31,"Adolescent","Invalid")))</f>
        <v>Middle Age</v>
      </c>
      <c r="N771" t="s">
        <v>18</v>
      </c>
    </row>
    <row r="772" spans="1:14" x14ac:dyDescent="0.2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4">
        <v>70000</v>
      </c>
      <c r="E835">
        <v>0</v>
      </c>
      <c r="F835" t="s">
        <v>13</v>
      </c>
      <c r="G835" t="s">
        <v>21</v>
      </c>
      <c r="H835" t="s">
        <v>18</v>
      </c>
      <c r="I835">
        <v>1</v>
      </c>
      <c r="J835" t="s">
        <v>16</v>
      </c>
      <c r="K835" t="s">
        <v>32</v>
      </c>
      <c r="L835">
        <v>37</v>
      </c>
      <c r="M835" t="str">
        <f t="shared" ref="M835:M898" si="13">IF(L835 &gt; 54, "Old",IF(L835 &gt;= 31, "Middle Age",IF(L835 &lt; 31,"Adolescent","Invalid")))</f>
        <v>Middle Age</v>
      </c>
      <c r="N835" t="s">
        <v>15</v>
      </c>
    </row>
    <row r="836" spans="1:14" x14ac:dyDescent="0.2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4">
        <v>30000</v>
      </c>
      <c r="E899">
        <v>0</v>
      </c>
      <c r="F899" t="s">
        <v>29</v>
      </c>
      <c r="G899" t="s">
        <v>20</v>
      </c>
      <c r="H899" t="s">
        <v>18</v>
      </c>
      <c r="I899">
        <v>2</v>
      </c>
      <c r="J899" t="s">
        <v>16</v>
      </c>
      <c r="K899" t="s">
        <v>32</v>
      </c>
      <c r="L899">
        <v>28</v>
      </c>
      <c r="M899" t="str">
        <f t="shared" ref="M899:M962" si="14">IF(L899 &gt; 54, "Old",IF(L899 &gt;= 31, "Middle Age",IF(L899 &lt; 31,"Adolescent","Invalid")))</f>
        <v>Adolescent</v>
      </c>
      <c r="N899" t="s">
        <v>18</v>
      </c>
    </row>
    <row r="900" spans="1:14" x14ac:dyDescent="0.2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4">
        <v>120000</v>
      </c>
      <c r="E963">
        <v>2</v>
      </c>
      <c r="F963" t="s">
        <v>13</v>
      </c>
      <c r="G963" t="s">
        <v>28</v>
      </c>
      <c r="H963" t="s">
        <v>15</v>
      </c>
      <c r="I963">
        <v>3</v>
      </c>
      <c r="J963" t="s">
        <v>23</v>
      </c>
      <c r="K963" t="s">
        <v>32</v>
      </c>
      <c r="L963">
        <v>62</v>
      </c>
      <c r="M963" t="str">
        <f t="shared" ref="M963:M1001" si="15">IF(L963 &gt; 54, "Old",IF(L963 &gt;= 31, "Middle Age",IF(L963 &lt; 31,"Adolescent","Invalid")))</f>
        <v>Old</v>
      </c>
      <c r="N963" t="s">
        <v>18</v>
      </c>
    </row>
    <row r="964" spans="1:14" x14ac:dyDescent="0.25">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xr:uid="{06D57DC4-31C4-4C07-AF67-E1CB01677B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CF41-5881-4215-B400-6418843E88C5}">
  <dimension ref="A1:P7"/>
  <sheetViews>
    <sheetView showGridLines="0" zoomScale="80" zoomScaleNormal="80" workbookViewId="0">
      <selection activeCell="V11" sqref="V11"/>
    </sheetView>
  </sheetViews>
  <sheetFormatPr defaultRowHeight="15" x14ac:dyDescent="0.25"/>
  <sheetData>
    <row r="1" spans="1:16" x14ac:dyDescent="0.25">
      <c r="A1" s="8" t="s">
        <v>50</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ht="61.5" customHeight="1"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row r="6" spans="1:16" x14ac:dyDescent="0.25">
      <c r="A6" s="8"/>
      <c r="B6" s="8"/>
      <c r="C6" s="8"/>
      <c r="D6" s="8"/>
      <c r="E6" s="8"/>
      <c r="F6" s="8"/>
      <c r="G6" s="8"/>
      <c r="H6" s="8"/>
      <c r="I6" s="8"/>
      <c r="J6" s="8"/>
      <c r="K6" s="8"/>
      <c r="L6" s="8"/>
      <c r="M6" s="8"/>
      <c r="N6" s="8"/>
      <c r="O6" s="8"/>
      <c r="P6" s="8"/>
    </row>
    <row r="7" spans="1:16" x14ac:dyDescent="0.25">
      <c r="A7" s="8"/>
      <c r="B7" s="8"/>
      <c r="C7" s="8"/>
      <c r="D7" s="8"/>
      <c r="E7" s="8"/>
      <c r="F7" s="8"/>
      <c r="G7" s="8"/>
      <c r="H7" s="8"/>
      <c r="I7" s="8"/>
      <c r="J7" s="8"/>
      <c r="K7" s="8"/>
      <c r="L7" s="8"/>
      <c r="M7" s="8"/>
      <c r="N7" s="8"/>
      <c r="O7" s="8"/>
      <c r="P7" s="8"/>
    </row>
  </sheetData>
  <mergeCells count="1">
    <mergeCell ref="A1:P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332A-DEDC-4EBC-8B08-09360F40363F}">
  <dimension ref="A3:D42"/>
  <sheetViews>
    <sheetView tabSelected="1" workbookViewId="0">
      <selection activeCell="U42" sqref="U4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44</v>
      </c>
      <c r="B3" s="5" t="s">
        <v>43</v>
      </c>
    </row>
    <row r="4" spans="1:4" x14ac:dyDescent="0.25">
      <c r="A4" s="5" t="s">
        <v>41</v>
      </c>
      <c r="B4" t="s">
        <v>18</v>
      </c>
      <c r="C4" t="s">
        <v>15</v>
      </c>
      <c r="D4" t="s">
        <v>42</v>
      </c>
    </row>
    <row r="5" spans="1:4" x14ac:dyDescent="0.25">
      <c r="A5" s="6" t="s">
        <v>38</v>
      </c>
      <c r="B5" s="3">
        <v>68421.052631578947</v>
      </c>
      <c r="C5" s="3">
        <v>64827.586206896551</v>
      </c>
      <c r="D5" s="3">
        <v>66250</v>
      </c>
    </row>
    <row r="6" spans="1:4" x14ac:dyDescent="0.25">
      <c r="A6" s="6" t="s">
        <v>39</v>
      </c>
      <c r="B6" s="3">
        <v>62500</v>
      </c>
      <c r="C6" s="3">
        <v>63636.36363636364</v>
      </c>
      <c r="D6" s="3">
        <v>63265.306122448979</v>
      </c>
    </row>
    <row r="7" spans="1:4" x14ac:dyDescent="0.25">
      <c r="A7" s="6" t="s">
        <v>42</v>
      </c>
      <c r="B7" s="3">
        <v>65714.28571428571</v>
      </c>
      <c r="C7" s="3">
        <v>64193.548387096773</v>
      </c>
      <c r="D7" s="3">
        <v>64742.268041237112</v>
      </c>
    </row>
    <row r="20" spans="1:4" x14ac:dyDescent="0.25">
      <c r="A20" s="5" t="s">
        <v>45</v>
      </c>
      <c r="B20" s="5" t="s">
        <v>43</v>
      </c>
    </row>
    <row r="21" spans="1:4" x14ac:dyDescent="0.25">
      <c r="A21" s="5" t="s">
        <v>41</v>
      </c>
      <c r="B21" t="s">
        <v>18</v>
      </c>
      <c r="C21" t="s">
        <v>15</v>
      </c>
      <c r="D21" t="s">
        <v>42</v>
      </c>
    </row>
    <row r="22" spans="1:4" x14ac:dyDescent="0.25">
      <c r="A22" s="6" t="s">
        <v>16</v>
      </c>
      <c r="B22" s="7">
        <v>4</v>
      </c>
      <c r="C22" s="7">
        <v>23</v>
      </c>
      <c r="D22" s="7">
        <v>27</v>
      </c>
    </row>
    <row r="23" spans="1:4" x14ac:dyDescent="0.25">
      <c r="A23" s="6" t="s">
        <v>26</v>
      </c>
      <c r="B23" s="7">
        <v>3</v>
      </c>
      <c r="C23" s="7">
        <v>6</v>
      </c>
      <c r="D23" s="7">
        <v>9</v>
      </c>
    </row>
    <row r="24" spans="1:4" x14ac:dyDescent="0.25">
      <c r="A24" s="6" t="s">
        <v>22</v>
      </c>
      <c r="B24" s="7">
        <v>3</v>
      </c>
      <c r="C24" s="7">
        <v>4</v>
      </c>
      <c r="D24" s="7">
        <v>7</v>
      </c>
    </row>
    <row r="25" spans="1:4" x14ac:dyDescent="0.25">
      <c r="A25" s="6" t="s">
        <v>23</v>
      </c>
      <c r="B25" s="7">
        <v>14</v>
      </c>
      <c r="C25" s="7">
        <v>21</v>
      </c>
      <c r="D25" s="7">
        <v>35</v>
      </c>
    </row>
    <row r="26" spans="1:4" x14ac:dyDescent="0.25">
      <c r="A26" s="6" t="s">
        <v>46</v>
      </c>
      <c r="B26" s="7">
        <v>11</v>
      </c>
      <c r="C26" s="7">
        <v>8</v>
      </c>
      <c r="D26" s="7">
        <v>19</v>
      </c>
    </row>
    <row r="27" spans="1:4" x14ac:dyDescent="0.25">
      <c r="A27" s="6" t="s">
        <v>42</v>
      </c>
      <c r="B27" s="7">
        <v>35</v>
      </c>
      <c r="C27" s="7">
        <v>62</v>
      </c>
      <c r="D27" s="7">
        <v>97</v>
      </c>
    </row>
    <row r="37" spans="1:4" x14ac:dyDescent="0.25">
      <c r="A37" s="5" t="s">
        <v>45</v>
      </c>
      <c r="B37" s="5" t="s">
        <v>43</v>
      </c>
    </row>
    <row r="38" spans="1:4" x14ac:dyDescent="0.25">
      <c r="A38" s="5" t="s">
        <v>41</v>
      </c>
      <c r="B38" t="s">
        <v>18</v>
      </c>
      <c r="C38" t="s">
        <v>15</v>
      </c>
      <c r="D38" t="s">
        <v>42</v>
      </c>
    </row>
    <row r="39" spans="1:4" x14ac:dyDescent="0.25">
      <c r="A39" s="6" t="s">
        <v>47</v>
      </c>
      <c r="B39" s="7"/>
      <c r="C39" s="7">
        <v>10</v>
      </c>
      <c r="D39" s="7">
        <v>10</v>
      </c>
    </row>
    <row r="40" spans="1:4" x14ac:dyDescent="0.25">
      <c r="A40" s="6" t="s">
        <v>48</v>
      </c>
      <c r="B40" s="7">
        <v>27</v>
      </c>
      <c r="C40" s="7">
        <v>44</v>
      </c>
      <c r="D40" s="7">
        <v>71</v>
      </c>
    </row>
    <row r="41" spans="1:4" x14ac:dyDescent="0.25">
      <c r="A41" s="6" t="s">
        <v>49</v>
      </c>
      <c r="B41" s="7">
        <v>8</v>
      </c>
      <c r="C41" s="7">
        <v>8</v>
      </c>
      <c r="D41" s="7">
        <v>16</v>
      </c>
    </row>
    <row r="42" spans="1:4" x14ac:dyDescent="0.25">
      <c r="A42" s="6" t="s">
        <v>42</v>
      </c>
      <c r="B42" s="7">
        <v>35</v>
      </c>
      <c r="C42" s="7">
        <v>62</v>
      </c>
      <c r="D42" s="7">
        <v>97</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Narek</dc:creator>
  <cp:lastModifiedBy>Narek Grigoryan</cp:lastModifiedBy>
  <dcterms:created xsi:type="dcterms:W3CDTF">2022-03-18T02:50:57Z</dcterms:created>
  <dcterms:modified xsi:type="dcterms:W3CDTF">2026-05-31T23:47:20Z</dcterms:modified>
</cp:coreProperties>
</file>